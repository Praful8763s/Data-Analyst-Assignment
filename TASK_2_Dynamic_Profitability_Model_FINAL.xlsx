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ask\Assig\"/>
    </mc:Choice>
  </mc:AlternateContent>
  <xr:revisionPtr revIDLastSave="0" documentId="8_{28DC7F2E-A8F3-42EA-87E4-175CB3A620FC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Instructions" sheetId="1" r:id="rId1"/>
    <sheet name="Profitability Model" sheetId="2" r:id="rId2"/>
    <sheet name="Scenario Analysi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3" l="1"/>
  <c r="C17" i="3"/>
  <c r="F16" i="3"/>
  <c r="C16" i="3"/>
  <c r="F15" i="3"/>
  <c r="E15" i="3"/>
  <c r="D15" i="3"/>
  <c r="C15" i="3"/>
  <c r="B15" i="3"/>
  <c r="F14" i="3"/>
  <c r="D14" i="3"/>
  <c r="C14" i="3"/>
  <c r="F13" i="3"/>
  <c r="C13" i="3"/>
  <c r="F12" i="3"/>
  <c r="E12" i="3"/>
  <c r="C12" i="3"/>
  <c r="B12" i="3"/>
  <c r="F11" i="3"/>
  <c r="D11" i="3"/>
  <c r="C11" i="3"/>
  <c r="B11" i="3"/>
  <c r="E10" i="3"/>
  <c r="D10" i="3"/>
  <c r="C10" i="3"/>
  <c r="B10" i="3"/>
  <c r="E9" i="3"/>
  <c r="D9" i="3"/>
  <c r="C9" i="3"/>
  <c r="B9" i="3"/>
  <c r="F8" i="3"/>
  <c r="E8" i="3"/>
  <c r="D8" i="3"/>
  <c r="C8" i="3"/>
  <c r="B8" i="3"/>
  <c r="F7" i="3"/>
  <c r="E7" i="3"/>
  <c r="D7" i="3"/>
  <c r="B7" i="3"/>
  <c r="B39" i="2"/>
  <c r="B37" i="2"/>
  <c r="B29" i="2"/>
  <c r="B26" i="2"/>
  <c r="B17" i="3" s="1"/>
  <c r="B24" i="2"/>
  <c r="B22" i="2"/>
  <c r="B21" i="2"/>
  <c r="B20" i="2"/>
  <c r="B23" i="2" s="1"/>
  <c r="B19" i="2"/>
  <c r="B18" i="2"/>
  <c r="B30" i="2" s="1"/>
  <c r="B17" i="2"/>
  <c r="E17" i="3" s="1"/>
  <c r="B16" i="2"/>
  <c r="B38" i="2" l="1"/>
  <c r="B28" i="2"/>
  <c r="B13" i="3"/>
  <c r="E16" i="3"/>
  <c r="B25" i="2"/>
  <c r="E13" i="3"/>
  <c r="B14" i="3" l="1"/>
  <c r="B36" i="2"/>
  <c r="E14" i="3"/>
  <c r="B35" i="2"/>
  <c r="B31" i="2"/>
  <c r="B27" i="2"/>
  <c r="B16" i="3"/>
</calcChain>
</file>

<file path=xl/sharedStrings.xml><?xml version="1.0" encoding="utf-8"?>
<sst xmlns="http://schemas.openxmlformats.org/spreadsheetml/2006/main" count="119" uniqueCount="101">
  <si>
    <t xml:space="preserve">AMAZON ADVERTISING PROFITABILITY MODEL - USER GUIDE
HOW TO USE THIS MODEL:
1. INPUT YOUR PARAMETERS (Profitability Model Sheet)
   - Edit the gray cells in column B with your brand's actual data
   - All calculations will auto-update based on your inputs
   - Leave unit columns alone; they are for reference
2. READ YOUR OUTPUTS (Blue section below inputs)
   - All metrics calculate automatically
   - No need to edit these cells; they contain formulas
   - Green highlights = healthy metrics
   - Yellow highlights = caution
   - Red highlights = problem
3. EXPLORE SCENARIOS (Scenario Analysis Sheet)
   - Compare your base case against 4 pre-built scenarios
   - Shows impact of price changes, cost inflation, organic growth, ad scaling
   - Helps you think through "what if" questions
KEY METRICS EXPLAINED:
GROSS MARGIN = SP - COGS
Profit per unit before fees and advertising
NET MARGIN (Ad Units) = Gross Margin - Amazon Fee - Ad Cost per Unit
Profit per unit AFTER advertising (must be positive)
ACOS = (Ad Spend / Ad Revenue) x 100
Percentage of ad revenue spent on ads. Lower is better. Aim for &lt;30%
TACOS = (Ad Spend / Total Revenue) x 100
Percentage of TOTAL revenue spent on ads. Better than ACOS for long-term health
DECISION RULES:
Green Light (Profitable, Efficient):
- Profit &gt; INR 500,000/month
- ACOS &lt; 30%
- TACOS &lt; 15%
- Organic units &gt; Ad units
Action: Scale cautiously
Yellow Light (Profitable but Risky):
- Profit &gt; 0 but &lt; INR 500,000
- ACOS 30-40%
- TACOS 15-20%
Action: Optimize, don't scale
Red Light (Not Profitable):
- Profit &lt; 0
- ACOS &gt; 40%
- TACOS &gt; 25%
Action: Stop or restructure
COMMON SCENARIOS TO TEST:
1. Price Sensitivity: Change SP to +18% (e.g., INR 950)
2. Cost Pressure: Change COGS to +20%
3. Organic Growth: Increase Organic Units to 3,500
4. Ad Scaling: Double Ad Spend to INR 600,000
5. Competition: Decrease SP to INR 700
TIPS:
1. COGS should include manufacturing, packaging, fulfillment to Amazon
2. Fixed Costs should include team, warehousing, software, QA
3. Amazon Referral Fee varies: Electronics 8%, Beauty/Apparel 15%, Sports 12%
4. Update monthly with actual numbers
5. Review quarterly and adjust assumptions
This model answers questions like:
- Is this campaign profitable?
- What is my break-even ad spend?
- If I double ad spend, do I double profit?
- What happens if costs increase 20%?
- Should I raise or lower my price?
- Is organic growth keeping up with paid?
</t>
  </si>
  <si>
    <t>AMAZON ADVERTISING PROFITABILITY MODEL</t>
  </si>
  <si>
    <t>GlowNest Premium Face Serum | Dynamic Scenario Analysis</t>
  </si>
  <si>
    <t>INPUT PARAMETERS (Edit These Cells)</t>
  </si>
  <si>
    <t>Parameter</t>
  </si>
  <si>
    <t>Value</t>
  </si>
  <si>
    <t>Unit</t>
  </si>
  <si>
    <t>Notes</t>
  </si>
  <si>
    <t>Selling Price (SP)</t>
  </si>
  <si>
    <t>₹ per unit</t>
  </si>
  <si>
    <t>List price on Amazon</t>
  </si>
  <si>
    <t>Cost of Goods Sold (COGS)</t>
  </si>
  <si>
    <t>Manufacturing + packaging + delivery</t>
  </si>
  <si>
    <t>Amazon Referral Fee (%)</t>
  </si>
  <si>
    <t>% of SP</t>
  </si>
  <si>
    <t>Typical for skincare: 8-15%</t>
  </si>
  <si>
    <t>Monthly Ad Spend</t>
  </si>
  <si>
    <t>₹</t>
  </si>
  <si>
    <t>Total advertising budget</t>
  </si>
  <si>
    <t>Units Sold via Ads</t>
  </si>
  <si>
    <t>units/month</t>
  </si>
  <si>
    <t>Ad-attributed sales</t>
  </si>
  <si>
    <t>Organic Units Sold</t>
  </si>
  <si>
    <t>Non-ad-attributed sales</t>
  </si>
  <si>
    <t>Fixed Costs (monthly)</t>
  </si>
  <si>
    <t>Warehousing, team, software</t>
  </si>
  <si>
    <t>CALCULATED OUTPUTS (Read-Only)</t>
  </si>
  <si>
    <t>Metric</t>
  </si>
  <si>
    <t>Formula</t>
  </si>
  <si>
    <t>Gross Margin per Unit</t>
  </si>
  <si>
    <t>SP - COGS</t>
  </si>
  <si>
    <t>Amazon Fee per Unit</t>
  </si>
  <si>
    <t>SP × Fee%</t>
  </si>
  <si>
    <t>Ad Cost per Unit</t>
  </si>
  <si>
    <t>Ad Spend ÷ Ad Units</t>
  </si>
  <si>
    <t>Net Margin (Ad Units)</t>
  </si>
  <si>
    <t>Gross Margin - Amazon Fee - Ad Cost</t>
  </si>
  <si>
    <t>Net Margin (Organic Units)</t>
  </si>
  <si>
    <t>Gross Margin - Amazon Fee</t>
  </si>
  <si>
    <t>Total Ad Revenue</t>
  </si>
  <si>
    <t>SP × Ad Units</t>
  </si>
  <si>
    <t>Total Organic Revenue</t>
  </si>
  <si>
    <t>SP × Organic Units</t>
  </si>
  <si>
    <t>Total Monthly Revenue</t>
  </si>
  <si>
    <t>Ad Revenue + Organic Revenue</t>
  </si>
  <si>
    <t>Total Units Sold</t>
  </si>
  <si>
    <t>units</t>
  </si>
  <si>
    <t>Ad Units + Organic Units</t>
  </si>
  <si>
    <t>Total Profit Contribution</t>
  </si>
  <si>
    <t>(Net Margin Ad × Ad Units) + (Net Margin Org × Org Units)</t>
  </si>
  <si>
    <t>Monthly Profit (after fixed)</t>
  </si>
  <si>
    <t>Profit Contribution - Fixed Costs</t>
  </si>
  <si>
    <t>Profitability Margin %</t>
  </si>
  <si>
    <t>%</t>
  </si>
  <si>
    <t>(Monthly Profit ÷ Total Revenue) × 100</t>
  </si>
  <si>
    <t>ACOS (Advertising Cost of Sale)</t>
  </si>
  <si>
    <t>(Ad Spend ÷ Ad Revenue) × 100</t>
  </si>
  <si>
    <t>TACOS (Total Advertising Cost of Sale)</t>
  </si>
  <si>
    <t>(Ad Spend ÷ Total Revenue) × 100</t>
  </si>
  <si>
    <t>Break-Even Ad Spend</t>
  </si>
  <si>
    <t>Net Margin Organic × Ad Units</t>
  </si>
  <si>
    <t>Payback Period</t>
  </si>
  <si>
    <t>days</t>
  </si>
  <si>
    <t>(Monthly Profit ÷ Ad Spend) × 30</t>
  </si>
  <si>
    <t>HEALTH CHECK</t>
  </si>
  <si>
    <t>Profit Status</t>
  </si>
  <si>
    <t>B25 should be positive</t>
  </si>
  <si>
    <t>ACOS Status</t>
  </si>
  <si>
    <t>Aim for &lt;30%</t>
  </si>
  <si>
    <t>TACOS Status</t>
  </si>
  <si>
    <t>Aim for &lt;15%</t>
  </si>
  <si>
    <t>Net Margin (Ad) Status</t>
  </si>
  <si>
    <t>Should be positive</t>
  </si>
  <si>
    <t>Organic Growth Signal</t>
  </si>
  <si>
    <t>Organic should grow</t>
  </si>
  <si>
    <t>SCENARIO ANALYSIS</t>
  </si>
  <si>
    <t>Compare different business scenarios using the base model</t>
  </si>
  <si>
    <t>Base Case</t>
  </si>
  <si>
    <t>Price Increase</t>
  </si>
  <si>
    <t>Cost Inflation</t>
  </si>
  <si>
    <t>Organic Growth</t>
  </si>
  <si>
    <t>Ad Scaling</t>
  </si>
  <si>
    <t>Current parameters</t>
  </si>
  <si>
    <t>SP to 950</t>
  </si>
  <si>
    <t>COGS +20%</t>
  </si>
  <si>
    <t>Organic to 3,500</t>
  </si>
  <si>
    <t>Ad spend to 6L, units to 2,500</t>
  </si>
  <si>
    <t>Selling Price</t>
  </si>
  <si>
    <t>COGS</t>
  </si>
  <si>
    <t>Ad Spend</t>
  </si>
  <si>
    <t>600000</t>
  </si>
  <si>
    <t>Units (Ad)</t>
  </si>
  <si>
    <t>2500</t>
  </si>
  <si>
    <t>Units (Organic)</t>
  </si>
  <si>
    <t>3500</t>
  </si>
  <si>
    <t>Gross Margin</t>
  </si>
  <si>
    <t>Net Margin (Ad)</t>
  </si>
  <si>
    <t>ACOS %</t>
  </si>
  <si>
    <t>TACOS %</t>
  </si>
  <si>
    <t>Monthly Profit</t>
  </si>
  <si>
    <t>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</si>
</sst>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1"/>
      <name val="Calibri"/>
    </font>
    <font>
      <sz val="11"/>
      <color rgb="FF000000"/>
      <name val="Calibri"/>
    </font>
    <font>
      <i/>
      <sz val="10"/>
      <name val="Calibri"/>
    </font>
    <font>
      <sz val="9"/>
      <color rgb="FF595959"/>
      <name val="Calibri"/>
    </font>
    <font>
      <sz val="9"/>
      <color rgb="FF333333"/>
      <name val="Calibri"/>
    </font>
    <font>
      <b/>
      <sz val="10"/>
      <name val="Calibri"/>
    </font>
    <font>
      <i/>
      <sz val="9"/>
      <color rgb="FF595959"/>
      <name val="Calibri"/>
    </font>
    <font>
      <i/>
      <sz val="8"/>
      <color rgb="FF595959"/>
      <name val="Calibri"/>
    </font>
    <font>
      <sz val="10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/>
    <xf numFmtId="4" fontId="6" fillId="4" borderId="1" xfId="0" applyNumberFormat="1" applyFont="1" applyFill="1" applyBorder="1"/>
    <xf numFmtId="0" fontId="7" fillId="0" borderId="1" xfId="0" applyFont="1" applyBorder="1"/>
    <xf numFmtId="0" fontId="8" fillId="0" borderId="1" xfId="0" applyFont="1" applyBorder="1"/>
    <xf numFmtId="0" fontId="5" fillId="5" borderId="1" xfId="0" applyFont="1" applyFill="1" applyBorder="1"/>
    <xf numFmtId="4" fontId="6" fillId="5" borderId="1" xfId="0" applyNumberFormat="1" applyFont="1" applyFill="1" applyBorder="1"/>
    <xf numFmtId="0" fontId="7" fillId="5" borderId="1" xfId="0" applyFont="1" applyFill="1" applyBorder="1"/>
    <xf numFmtId="0" fontId="9" fillId="5" borderId="1" xfId="0" applyFont="1" applyFill="1" applyBorder="1"/>
    <xf numFmtId="0" fontId="10" fillId="0" borderId="1" xfId="0" applyFont="1" applyBorder="1"/>
    <xf numFmtId="0" fontId="10" fillId="6" borderId="1" xfId="0" applyFont="1" applyFill="1" applyBorder="1" applyAlignment="1">
      <alignment horizontal="center"/>
    </xf>
    <xf numFmtId="0" fontId="11" fillId="0" borderId="1" xfId="0" applyFont="1" applyBorder="1"/>
    <xf numFmtId="0" fontId="0" fillId="0" borderId="1" xfId="0" applyBorder="1"/>
    <xf numFmtId="0" fontId="3" fillId="3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0" fillId="5" borderId="1" xfId="0" applyFont="1" applyFill="1" applyBorder="1" applyAlignment="1">
      <alignment horizontal="left"/>
    </xf>
    <xf numFmtId="4" fontId="13" fillId="4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/>
    <xf numFmtId="0" fontId="3" fillId="2" borderId="0" xfId="0" applyFont="1" applyFill="1"/>
    <xf numFmtId="0" fontId="1" fillId="0" borderId="0" xfId="0" applyFont="1" applyAlignment="1">
      <alignment horizontal="center" vertical="center"/>
    </xf>
    <xf numFmtId="0" fontId="1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cols>
    <col min="1" max="1" width="100" customWidth="1"/>
  </cols>
  <sheetData>
    <row r="1" spans="1:1" ht="409.6" x14ac:dyDescent="0.3">
      <c r="A1" s="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workbookViewId="0">
      <selection sqref="A1:F1"/>
    </sheetView>
  </sheetViews>
  <sheetFormatPr defaultRowHeight="14.4" x14ac:dyDescent="0.3"/>
  <cols>
    <col min="1" max="1" width="28" customWidth="1"/>
    <col min="2" max="2" width="15" customWidth="1"/>
    <col min="3" max="3" width="14" customWidth="1"/>
    <col min="4" max="4" width="35" customWidth="1"/>
  </cols>
  <sheetData>
    <row r="1" spans="1:6" ht="25.05" customHeight="1" x14ac:dyDescent="0.3">
      <c r="A1" s="22" t="s">
        <v>1</v>
      </c>
      <c r="B1" s="20"/>
      <c r="C1" s="20"/>
      <c r="D1" s="20"/>
      <c r="E1" s="20"/>
      <c r="F1" s="20"/>
    </row>
    <row r="2" spans="1:6" ht="18" customHeight="1" x14ac:dyDescent="0.3">
      <c r="A2" s="19" t="s">
        <v>2</v>
      </c>
      <c r="B2" s="20"/>
      <c r="C2" s="20"/>
      <c r="D2" s="20"/>
      <c r="E2" s="20"/>
      <c r="F2" s="20"/>
    </row>
    <row r="4" spans="1:6" ht="19.95" customHeight="1" x14ac:dyDescent="0.3">
      <c r="A4" s="21" t="s">
        <v>3</v>
      </c>
      <c r="B4" s="20"/>
      <c r="C4" s="20"/>
      <c r="D4" s="20"/>
      <c r="E4" s="20"/>
      <c r="F4" s="20"/>
    </row>
    <row r="5" spans="1:6" ht="18" customHeight="1" x14ac:dyDescent="0.3">
      <c r="A5" s="2" t="s">
        <v>4</v>
      </c>
      <c r="B5" s="2" t="s">
        <v>5</v>
      </c>
      <c r="C5" s="2" t="s">
        <v>6</v>
      </c>
      <c r="D5" s="2" t="s">
        <v>7</v>
      </c>
      <c r="E5" s="2"/>
      <c r="F5" s="2"/>
    </row>
    <row r="6" spans="1:6" x14ac:dyDescent="0.3">
      <c r="A6" s="3" t="s">
        <v>8</v>
      </c>
      <c r="B6" s="4">
        <v>800</v>
      </c>
      <c r="C6" s="5" t="s">
        <v>9</v>
      </c>
      <c r="D6" s="6" t="s">
        <v>10</v>
      </c>
    </row>
    <row r="7" spans="1:6" x14ac:dyDescent="0.3">
      <c r="A7" s="3" t="s">
        <v>11</v>
      </c>
      <c r="B7" s="4">
        <v>280</v>
      </c>
      <c r="C7" s="5" t="s">
        <v>9</v>
      </c>
      <c r="D7" s="6" t="s">
        <v>12</v>
      </c>
    </row>
    <row r="8" spans="1:6" x14ac:dyDescent="0.3">
      <c r="A8" s="3" t="s">
        <v>13</v>
      </c>
      <c r="B8" s="4">
        <v>0.12</v>
      </c>
      <c r="C8" s="5" t="s">
        <v>14</v>
      </c>
      <c r="D8" s="6" t="s">
        <v>15</v>
      </c>
    </row>
    <row r="9" spans="1:6" x14ac:dyDescent="0.3">
      <c r="A9" s="3" t="s">
        <v>16</v>
      </c>
      <c r="B9" s="4">
        <v>300000</v>
      </c>
      <c r="C9" s="5" t="s">
        <v>17</v>
      </c>
      <c r="D9" s="6" t="s">
        <v>18</v>
      </c>
    </row>
    <row r="10" spans="1:6" x14ac:dyDescent="0.3">
      <c r="A10" s="3" t="s">
        <v>19</v>
      </c>
      <c r="B10" s="4">
        <v>1500</v>
      </c>
      <c r="C10" s="5" t="s">
        <v>20</v>
      </c>
      <c r="D10" s="6" t="s">
        <v>21</v>
      </c>
    </row>
    <row r="11" spans="1:6" x14ac:dyDescent="0.3">
      <c r="A11" s="3" t="s">
        <v>22</v>
      </c>
      <c r="B11" s="4">
        <v>2000</v>
      </c>
      <c r="C11" s="5" t="s">
        <v>20</v>
      </c>
      <c r="D11" s="6" t="s">
        <v>23</v>
      </c>
    </row>
    <row r="12" spans="1:6" x14ac:dyDescent="0.3">
      <c r="A12" s="3" t="s">
        <v>24</v>
      </c>
      <c r="B12" s="4">
        <v>150000</v>
      </c>
      <c r="C12" s="5" t="s">
        <v>17</v>
      </c>
      <c r="D12" s="6" t="s">
        <v>25</v>
      </c>
    </row>
    <row r="14" spans="1:6" ht="19.95" customHeight="1" x14ac:dyDescent="0.3">
      <c r="A14" s="21" t="s">
        <v>26</v>
      </c>
      <c r="B14" s="20"/>
      <c r="C14" s="20"/>
      <c r="D14" s="20"/>
      <c r="E14" s="20"/>
      <c r="F14" s="20"/>
    </row>
    <row r="15" spans="1:6" ht="18" customHeight="1" x14ac:dyDescent="0.3">
      <c r="A15" s="2" t="s">
        <v>27</v>
      </c>
      <c r="B15" s="2" t="s">
        <v>5</v>
      </c>
      <c r="C15" s="2" t="s">
        <v>6</v>
      </c>
      <c r="D15" s="2" t="s">
        <v>28</v>
      </c>
      <c r="E15" s="2"/>
      <c r="F15" s="2"/>
    </row>
    <row r="16" spans="1:6" x14ac:dyDescent="0.3">
      <c r="A16" s="7" t="s">
        <v>29</v>
      </c>
      <c r="B16" s="8">
        <f>B6-B7</f>
        <v>520</v>
      </c>
      <c r="C16" s="9" t="s">
        <v>17</v>
      </c>
      <c r="D16" s="10" t="s">
        <v>30</v>
      </c>
    </row>
    <row r="17" spans="1:4" x14ac:dyDescent="0.3">
      <c r="A17" s="7" t="s">
        <v>31</v>
      </c>
      <c r="B17" s="8">
        <f>B6*B8</f>
        <v>96</v>
      </c>
      <c r="C17" s="9" t="s">
        <v>17</v>
      </c>
      <c r="D17" s="10" t="s">
        <v>32</v>
      </c>
    </row>
    <row r="18" spans="1:4" x14ac:dyDescent="0.3">
      <c r="A18" s="7" t="s">
        <v>33</v>
      </c>
      <c r="B18" s="8">
        <f>B9/B10</f>
        <v>200</v>
      </c>
      <c r="C18" s="9" t="s">
        <v>17</v>
      </c>
      <c r="D18" s="10" t="s">
        <v>34</v>
      </c>
    </row>
    <row r="19" spans="1:4" x14ac:dyDescent="0.3">
      <c r="A19" s="7" t="s">
        <v>35</v>
      </c>
      <c r="B19" s="8" t="e">
        <f>B14-B15-B16</f>
        <v>#VALUE!</v>
      </c>
      <c r="C19" s="9" t="s">
        <v>17</v>
      </c>
      <c r="D19" s="10" t="s">
        <v>36</v>
      </c>
    </row>
    <row r="20" spans="1:4" x14ac:dyDescent="0.3">
      <c r="A20" s="7" t="s">
        <v>37</v>
      </c>
      <c r="B20" s="8" t="e">
        <f>B14-B15</f>
        <v>#VALUE!</v>
      </c>
      <c r="C20" s="9" t="s">
        <v>17</v>
      </c>
      <c r="D20" s="10" t="s">
        <v>38</v>
      </c>
    </row>
    <row r="21" spans="1:4" x14ac:dyDescent="0.3">
      <c r="A21" s="7" t="s">
        <v>39</v>
      </c>
      <c r="B21" s="8">
        <f>B6*B10</f>
        <v>1200000</v>
      </c>
      <c r="C21" s="9" t="s">
        <v>17</v>
      </c>
      <c r="D21" s="10" t="s">
        <v>40</v>
      </c>
    </row>
    <row r="22" spans="1:4" x14ac:dyDescent="0.3">
      <c r="A22" s="7" t="s">
        <v>41</v>
      </c>
      <c r="B22" s="8">
        <f>B6*B11</f>
        <v>1600000</v>
      </c>
      <c r="C22" s="9" t="s">
        <v>17</v>
      </c>
      <c r="D22" s="10" t="s">
        <v>42</v>
      </c>
    </row>
    <row r="23" spans="1:4" x14ac:dyDescent="0.3">
      <c r="A23" s="7" t="s">
        <v>43</v>
      </c>
      <c r="B23" s="8" t="e">
        <f>B20+B21</f>
        <v>#VALUE!</v>
      </c>
      <c r="C23" s="9" t="s">
        <v>17</v>
      </c>
      <c r="D23" s="10" t="s">
        <v>44</v>
      </c>
    </row>
    <row r="24" spans="1:4" x14ac:dyDescent="0.3">
      <c r="A24" s="7" t="s">
        <v>45</v>
      </c>
      <c r="B24" s="8">
        <f>B10+B11</f>
        <v>3500</v>
      </c>
      <c r="C24" s="9" t="s">
        <v>46</v>
      </c>
      <c r="D24" s="10" t="s">
        <v>47</v>
      </c>
    </row>
    <row r="25" spans="1:4" x14ac:dyDescent="0.3">
      <c r="A25" s="7" t="s">
        <v>48</v>
      </c>
      <c r="B25" s="8">
        <f>(B17*B10)+(B18*B11)</f>
        <v>544000</v>
      </c>
      <c r="C25" s="9" t="s">
        <v>17</v>
      </c>
      <c r="D25" s="10" t="s">
        <v>49</v>
      </c>
    </row>
    <row r="26" spans="1:4" x14ac:dyDescent="0.3">
      <c r="A26" s="7" t="s">
        <v>50</v>
      </c>
      <c r="B26" s="8">
        <f>B24-B12</f>
        <v>-146500</v>
      </c>
      <c r="C26" s="9" t="s">
        <v>17</v>
      </c>
      <c r="D26" s="10" t="s">
        <v>51</v>
      </c>
    </row>
    <row r="27" spans="1:4" x14ac:dyDescent="0.3">
      <c r="A27" s="7" t="s">
        <v>52</v>
      </c>
      <c r="B27" s="8">
        <f>(B25/B22)*100</f>
        <v>34</v>
      </c>
      <c r="C27" s="9" t="s">
        <v>53</v>
      </c>
      <c r="D27" s="10" t="s">
        <v>54</v>
      </c>
    </row>
    <row r="28" spans="1:4" x14ac:dyDescent="0.3">
      <c r="A28" s="7" t="s">
        <v>55</v>
      </c>
      <c r="B28" s="8" t="e">
        <f>(B9/B20)*100</f>
        <v>#VALUE!</v>
      </c>
      <c r="C28" s="9" t="s">
        <v>53</v>
      </c>
      <c r="D28" s="10" t="s">
        <v>56</v>
      </c>
    </row>
    <row r="29" spans="1:4" x14ac:dyDescent="0.3">
      <c r="A29" s="7" t="s">
        <v>57</v>
      </c>
      <c r="B29" s="8">
        <f>(B9/B22)*100</f>
        <v>18.75</v>
      </c>
      <c r="C29" s="9" t="s">
        <v>53</v>
      </c>
      <c r="D29" s="10" t="s">
        <v>58</v>
      </c>
    </row>
    <row r="30" spans="1:4" x14ac:dyDescent="0.3">
      <c r="A30" s="7" t="s">
        <v>59</v>
      </c>
      <c r="B30" s="8">
        <f>(B18*B10)</f>
        <v>300000</v>
      </c>
      <c r="C30" s="9" t="s">
        <v>17</v>
      </c>
      <c r="D30" s="10" t="s">
        <v>60</v>
      </c>
    </row>
    <row r="31" spans="1:4" x14ac:dyDescent="0.3">
      <c r="A31" s="7" t="s">
        <v>61</v>
      </c>
      <c r="B31" s="8">
        <f>IF(B25&gt;0,ROUND(B25/B9*30,1),"N/A")</f>
        <v>54.4</v>
      </c>
      <c r="C31" s="9" t="s">
        <v>62</v>
      </c>
      <c r="D31" s="10" t="s">
        <v>63</v>
      </c>
    </row>
    <row r="34" spans="1:6" ht="19.95" customHeight="1" x14ac:dyDescent="0.3">
      <c r="A34" s="21" t="s">
        <v>64</v>
      </c>
      <c r="B34" s="20"/>
      <c r="C34" s="20"/>
      <c r="D34" s="20"/>
      <c r="E34" s="20"/>
      <c r="F34" s="20"/>
    </row>
    <row r="35" spans="1:6" x14ac:dyDescent="0.3">
      <c r="A35" s="11" t="s">
        <v>65</v>
      </c>
      <c r="B35" s="12" t="str">
        <f>IF(B25&gt;0,"Profitable","Loss")</f>
        <v>Profitable</v>
      </c>
      <c r="C35" s="13" t="s">
        <v>66</v>
      </c>
      <c r="D35" s="14"/>
    </row>
    <row r="36" spans="1:6" x14ac:dyDescent="0.3">
      <c r="A36" s="11" t="s">
        <v>67</v>
      </c>
      <c r="B36" s="12" t="e">
        <f>IF(B28&lt;0.3,"Excellent",IF(B28&lt;0.35,"Good","Needs Work"))</f>
        <v>#VALUE!</v>
      </c>
      <c r="C36" s="13" t="s">
        <v>68</v>
      </c>
      <c r="D36" s="14"/>
    </row>
    <row r="37" spans="1:6" x14ac:dyDescent="0.3">
      <c r="A37" s="11" t="s">
        <v>69</v>
      </c>
      <c r="B37" s="12" t="str">
        <f>IF(B29&lt;0.15,"Healthy","Monitor")</f>
        <v>Monitor</v>
      </c>
      <c r="C37" s="13" t="s">
        <v>70</v>
      </c>
      <c r="D37" s="14"/>
    </row>
    <row r="38" spans="1:6" x14ac:dyDescent="0.3">
      <c r="A38" s="11" t="s">
        <v>71</v>
      </c>
      <c r="B38" s="12" t="str">
        <f>IF(B17&gt;0,"Positive","Negative")</f>
        <v>Positive</v>
      </c>
      <c r="C38" s="13" t="s">
        <v>72</v>
      </c>
      <c r="D38" s="14"/>
    </row>
    <row r="39" spans="1:6" x14ac:dyDescent="0.3">
      <c r="A39" s="11" t="s">
        <v>73</v>
      </c>
      <c r="B39" s="12" t="str">
        <f>IF(B11&gt;B10,"Strong","Weak")</f>
        <v>Strong</v>
      </c>
      <c r="C39" s="13" t="s">
        <v>74</v>
      </c>
      <c r="D39" s="14"/>
    </row>
  </sheetData>
  <mergeCells count="5">
    <mergeCell ref="A2:F2"/>
    <mergeCell ref="A14:F14"/>
    <mergeCell ref="A1:F1"/>
    <mergeCell ref="A34:F34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tabSelected="1" workbookViewId="0">
      <selection activeCell="E17" sqref="E17"/>
    </sheetView>
  </sheetViews>
  <sheetFormatPr defaultRowHeight="14.4" x14ac:dyDescent="0.3"/>
  <cols>
    <col min="1" max="1" width="22" customWidth="1"/>
    <col min="2" max="7" width="16" customWidth="1"/>
  </cols>
  <sheetData>
    <row r="1" spans="1:8" ht="25.05" customHeight="1" x14ac:dyDescent="0.35">
      <c r="A1" s="24" t="s">
        <v>75</v>
      </c>
      <c r="B1" s="20"/>
      <c r="C1" s="20"/>
      <c r="D1" s="20"/>
      <c r="E1" s="20"/>
      <c r="F1" s="20"/>
      <c r="G1" s="20"/>
      <c r="H1" s="20"/>
    </row>
    <row r="2" spans="1:8" ht="16.05" customHeight="1" x14ac:dyDescent="0.3">
      <c r="A2" s="23" t="s">
        <v>76</v>
      </c>
      <c r="B2" s="20"/>
      <c r="C2" s="20"/>
      <c r="D2" s="20"/>
      <c r="E2" s="20"/>
      <c r="F2" s="20"/>
      <c r="G2" s="20"/>
      <c r="H2" s="20"/>
    </row>
    <row r="4" spans="1:8" ht="19.95" customHeight="1" x14ac:dyDescent="0.3">
      <c r="A4" s="15" t="s">
        <v>77</v>
      </c>
      <c r="B4" s="15" t="s">
        <v>78</v>
      </c>
      <c r="C4" s="15" t="s">
        <v>79</v>
      </c>
      <c r="D4" s="15" t="s">
        <v>80</v>
      </c>
      <c r="E4" s="15" t="s">
        <v>81</v>
      </c>
    </row>
    <row r="5" spans="1:8" ht="18" customHeight="1" x14ac:dyDescent="0.3">
      <c r="A5" s="16" t="s">
        <v>82</v>
      </c>
      <c r="B5" s="16" t="s">
        <v>83</v>
      </c>
      <c r="C5" s="16" t="s">
        <v>84</v>
      </c>
      <c r="D5" s="16" t="s">
        <v>85</v>
      </c>
      <c r="E5" s="16" t="s">
        <v>86</v>
      </c>
    </row>
    <row r="7" spans="1:8" x14ac:dyDescent="0.3">
      <c r="A7" s="17" t="s">
        <v>87</v>
      </c>
      <c r="B7" s="18">
        <f>'Profitability Model'!B6</f>
        <v>800</v>
      </c>
      <c r="C7" s="18">
        <v>950</v>
      </c>
      <c r="D7" s="18">
        <f>'Profitability Model'!B6</f>
        <v>800</v>
      </c>
      <c r="E7" s="18">
        <f>'Profitability Model'!B6</f>
        <v>800</v>
      </c>
      <c r="F7" s="18">
        <f>'Profitability Model'!B6</f>
        <v>800</v>
      </c>
    </row>
    <row r="8" spans="1:8" x14ac:dyDescent="0.3">
      <c r="A8" s="17" t="s">
        <v>88</v>
      </c>
      <c r="B8" s="18">
        <f>'Profitability Model'!B7</f>
        <v>280</v>
      </c>
      <c r="C8" s="18">
        <f>'Profitability Model'!B7</f>
        <v>280</v>
      </c>
      <c r="D8" s="18">
        <f>'Profitability Model'!B7*1.2</f>
        <v>336</v>
      </c>
      <c r="E8" s="18">
        <f>'Profitability Model'!B7</f>
        <v>280</v>
      </c>
      <c r="F8" s="18">
        <f>'Profitability Model'!B7</f>
        <v>280</v>
      </c>
    </row>
    <row r="9" spans="1:8" x14ac:dyDescent="0.3">
      <c r="A9" s="17" t="s">
        <v>89</v>
      </c>
      <c r="B9" s="18">
        <f>'Profitability Model'!B9</f>
        <v>300000</v>
      </c>
      <c r="C9" s="18">
        <f>'Profitability Model'!B9</f>
        <v>300000</v>
      </c>
      <c r="D9" s="18">
        <f>'Profitability Model'!B9</f>
        <v>300000</v>
      </c>
      <c r="E9" s="18">
        <f>'Profitability Model'!B9</f>
        <v>300000</v>
      </c>
      <c r="F9" s="18" t="s">
        <v>90</v>
      </c>
    </row>
    <row r="10" spans="1:8" x14ac:dyDescent="0.3">
      <c r="A10" s="17" t="s">
        <v>91</v>
      </c>
      <c r="B10" s="18">
        <f>'Profitability Model'!B10</f>
        <v>1500</v>
      </c>
      <c r="C10" s="18">
        <f>'Profitability Model'!B10</f>
        <v>1500</v>
      </c>
      <c r="D10" s="18">
        <f>'Profitability Model'!B10</f>
        <v>1500</v>
      </c>
      <c r="E10" s="18">
        <f>'Profitability Model'!B10</f>
        <v>1500</v>
      </c>
      <c r="F10" s="18" t="s">
        <v>92</v>
      </c>
    </row>
    <row r="11" spans="1:8" x14ac:dyDescent="0.3">
      <c r="A11" s="17" t="s">
        <v>93</v>
      </c>
      <c r="B11" s="18">
        <f>'Profitability Model'!B11</f>
        <v>2000</v>
      </c>
      <c r="C11" s="18">
        <f>'Profitability Model'!B11</f>
        <v>2000</v>
      </c>
      <c r="D11" s="18">
        <f>'Profitability Model'!B11</f>
        <v>2000</v>
      </c>
      <c r="E11" s="18" t="s">
        <v>94</v>
      </c>
      <c r="F11" s="18">
        <f>'Profitability Model'!B11</f>
        <v>2000</v>
      </c>
    </row>
    <row r="12" spans="1:8" x14ac:dyDescent="0.3">
      <c r="A12" s="17" t="s">
        <v>95</v>
      </c>
      <c r="B12" s="18">
        <f>'Profitability Model'!B14</f>
        <v>0</v>
      </c>
      <c r="C12" s="18">
        <f>950-'Profitability Model'!B7</f>
        <v>670</v>
      </c>
      <c r="D12" s="18"/>
      <c r="E12" s="18">
        <f>'Profitability Model'!B14</f>
        <v>0</v>
      </c>
      <c r="F12" s="18">
        <f>'Profitability Model'!B14</f>
        <v>0</v>
      </c>
    </row>
    <row r="13" spans="1:8" x14ac:dyDescent="0.3">
      <c r="A13" s="17" t="s">
        <v>96</v>
      </c>
      <c r="B13" s="18">
        <f>'Profitability Model'!B17</f>
        <v>96</v>
      </c>
      <c r="C13" s="18">
        <f>(950-'Profitability Model'!B7)-(950*'Profitability Model'!B8)-('Profitability Model'!B9/'Profitability Model'!B10)</f>
        <v>356</v>
      </c>
      <c r="D13" s="18"/>
      <c r="E13" s="18">
        <f>'Profitability Model'!B17</f>
        <v>96</v>
      </c>
      <c r="F13" s="18">
        <f>('Profitability Model'!B14)-('Profitability Model'!B6*'Profitability Model'!B8)-(600000/2500)</f>
        <v>-336</v>
      </c>
    </row>
    <row r="14" spans="1:8" x14ac:dyDescent="0.3">
      <c r="A14" s="17" t="s">
        <v>97</v>
      </c>
      <c r="B14" s="18" t="e">
        <f>'Profitability Model'!B28</f>
        <v>#VALUE!</v>
      </c>
      <c r="C14" s="18">
        <f>('Profitability Model'!B9/(950*'Profitability Model'!B10))*100</f>
        <v>21.052631578947366</v>
      </c>
      <c r="D14" s="18">
        <f>('Profitability Model'!B9/('Profitability Model'!B6*'Profitability Model'!B10))*100</f>
        <v>25</v>
      </c>
      <c r="E14" s="18" t="e">
        <f>'Profitability Model'!B28</f>
        <v>#VALUE!</v>
      </c>
      <c r="F14" s="18">
        <f>(600000/('Profitability Model'!B6*2500))*100</f>
        <v>30</v>
      </c>
    </row>
    <row r="15" spans="1:8" x14ac:dyDescent="0.3">
      <c r="A15" s="17" t="s">
        <v>98</v>
      </c>
      <c r="B15" s="18">
        <f>'Profitability Model'!B29</f>
        <v>18.75</v>
      </c>
      <c r="C15" s="18">
        <f>('Profitability Model'!B9/((950*'Profitability Model'!B10)+(950*'Profitability Model'!B11)))*100</f>
        <v>9.0225563909774422</v>
      </c>
      <c r="D15" s="18">
        <f>('Profitability Model'!B9/(('Profitability Model'!B6*'Profitability Model'!B10)+('Profitability Model'!B6*'Profitability Model'!B11)))*100</f>
        <v>10.714285714285714</v>
      </c>
      <c r="E15" s="18">
        <f>('Profitability Model'!B9/(('Profitability Model'!B6*'Profitability Model'!B10)+('Profitability Model'!B6*3500)))*100</f>
        <v>7.5</v>
      </c>
      <c r="F15" s="18">
        <f>(600000/(('Profitability Model'!B6*2500)+('Profitability Model'!B6*'Profitability Model'!B11)))*100</f>
        <v>16.666666666666664</v>
      </c>
    </row>
    <row r="16" spans="1:8" x14ac:dyDescent="0.3">
      <c r="A16" s="17" t="s">
        <v>99</v>
      </c>
      <c r="B16" s="18">
        <f>'Profitability Model'!B25</f>
        <v>544000</v>
      </c>
      <c r="C16" s="18">
        <f>((950-'Profitability Model'!B7)-(950*'Profitability Model'!B8)-('Profitability Model'!B9/'Profitability Model'!B10))*'Profitability Model'!B10+((950-'Profitability Model'!B7)-(950*'Profitability Model'!B8))*'Profitability Model'!B11-'Profitability Model'!B12</f>
        <v>1496000</v>
      </c>
      <c r="D16" s="18"/>
      <c r="E16" s="18">
        <f>('Profitability Model'!B17*'Profitability Model'!B10)+('Profitability Model'!B18*3500)-'Profitability Model'!B12</f>
        <v>694000</v>
      </c>
      <c r="F16" s="18">
        <f>(('Profitability Model'!B14-('Profitability Model'!B6*'Profitability Model'!B8)-(600000/2500))*2500)+(('Profitability Model'!B14-('Profitability Model'!B6*'Profitability Model'!B8))*'Profitability Model'!B11)-'Profitability Model'!B12</f>
        <v>-1182000</v>
      </c>
    </row>
    <row r="17" spans="1:6" x14ac:dyDescent="0.3">
      <c r="A17" s="17" t="s">
        <v>100</v>
      </c>
      <c r="B17" s="18">
        <f>'Profitability Model'!B26</f>
        <v>-146500</v>
      </c>
      <c r="C17" s="18">
        <f>(((950-'Profitability Model'!B7)-(950*'Profitability Model'!B8)-('Profitability Model'!B9/'Profitability Model'!B10))*'Profitability Model'!B10+((950-'Profitability Model'!B7)-(950*'Profitability Model'!B8))*'Profitability Model'!B11-'Profitability Model'!B12)/((950*'Profitability Model'!B10)+(950*'Profitability Model'!B11))*100</f>
        <v>44.992481203007515</v>
      </c>
      <c r="D17" s="18"/>
      <c r="E17" s="18">
        <f>(('Profitability Model'!B17*'Profitability Model'!B10)+('Profitability Model'!B18*3500)-'Profitability Model'!B12)/(('Profitability Model'!B6*'Profitability Model'!B10)+('Profitability Model'!B6*3500))*100</f>
        <v>17.349999999999998</v>
      </c>
      <c r="F17" s="18">
        <f>((('Profitability Model'!B14-('Profitability Model'!B6*'Profitability Model'!B8)-(600000/2500))*2500)+(('Profitability Model'!B14-('Profitability Model'!B6*'Profitability Model'!B8))*'Profitability Model'!B11)-'Profitability Model'!B12)/(('Profitability Model'!B6*2500)+('Profitability Model'!B6*'Profitability Model'!B11))*100</f>
        <v>-32.833333333333329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Profitability Model</vt:lpstr>
      <vt:lpstr>Scenario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Praful Sonwane</cp:lastModifiedBy>
  <dcterms:created xsi:type="dcterms:W3CDTF">2026-06-04T06:37:55Z</dcterms:created>
  <dcterms:modified xsi:type="dcterms:W3CDTF">2026-06-04T07:41:29Z</dcterms:modified>
</cp:coreProperties>
</file>